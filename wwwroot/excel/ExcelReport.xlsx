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bon-inventory-platform\wwwroot\"/>
    </mc:Choice>
  </mc:AlternateContent>
  <xr:revisionPtr revIDLastSave="0" documentId="13_ncr:1_{8432F431-9BA5-4747-B999-3F404FF2C82A}" xr6:coauthVersionLast="47" xr6:coauthVersionMax="47" xr10:uidLastSave="{00000000-0000-0000-0000-000000000000}"/>
  <bookViews>
    <workbookView xWindow="-98" yWindow="-98" windowWidth="21795" windowHeight="12345" xr2:uid="{B6C6FE3C-00CF-427C-BF72-AD6EBFF9061C}"/>
  </bookViews>
  <sheets>
    <sheet name="邊界資料" sheetId="4" r:id="rId1"/>
    <sheet name="排放源資料" sheetId="1" r:id="rId2"/>
    <sheet name="排放量計算資料" sheetId="2" r:id="rId3"/>
    <sheet name="溫室氣體排放量彙總" sheetId="3" r:id="rId4"/>
  </sheets>
  <externalReferences>
    <externalReference r:id="rId5"/>
  </externalReferences>
  <definedNames>
    <definedName name="縣市別">[1]附表三!$E$3:$E$25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I3" i="3"/>
  <c r="H4" i="3" s="1"/>
  <c r="I9" i="3"/>
  <c r="E10" i="3" s="1"/>
  <c r="H15" i="3"/>
  <c r="G17" i="3" s="1"/>
  <c r="C18" i="3"/>
  <c r="D18" i="3"/>
  <c r="E18" i="3"/>
  <c r="B18" i="3"/>
  <c r="B17" i="3" l="1"/>
  <c r="F17" i="3"/>
  <c r="G4" i="3"/>
  <c r="F4" i="3"/>
  <c r="E4" i="3"/>
  <c r="D4" i="3"/>
  <c r="B4" i="3"/>
  <c r="C4" i="3"/>
  <c r="D10" i="3"/>
  <c r="C10" i="3"/>
  <c r="B10" i="3"/>
  <c r="H10" i="3"/>
  <c r="G10" i="3"/>
  <c r="F10" i="3"/>
</calcChain>
</file>

<file path=xl/sharedStrings.xml><?xml version="1.0" encoding="utf-8"?>
<sst xmlns="http://schemas.openxmlformats.org/spreadsheetml/2006/main" count="129" uniqueCount="109">
  <si>
    <t>原燃物料</t>
    <phoneticPr fontId="1" type="noConversion"/>
  </si>
  <si>
    <t>類別</t>
    <phoneticPr fontId="1" type="noConversion"/>
  </si>
  <si>
    <t>排放型式</t>
    <phoneticPr fontId="1" type="noConversion"/>
  </si>
  <si>
    <t>排放源名稱</t>
    <phoneticPr fontId="1" type="noConversion"/>
  </si>
  <si>
    <t>活動數據</t>
    <phoneticPr fontId="1" type="noConversion"/>
  </si>
  <si>
    <t>溫室氣體</t>
    <phoneticPr fontId="1" type="noConversion"/>
  </si>
  <si>
    <t>排放係數</t>
    <phoneticPr fontId="1" type="noConversion"/>
  </si>
  <si>
    <t>GWP值</t>
    <phoneticPr fontId="1" type="noConversion"/>
  </si>
  <si>
    <t>排放係數不確性上限</t>
    <phoneticPr fontId="1" type="noConversion"/>
  </si>
  <si>
    <t>排放係數不確性下限</t>
    <phoneticPr fontId="1" type="noConversion"/>
  </si>
  <si>
    <t>單位</t>
    <phoneticPr fontId="1" type="noConversion"/>
  </si>
  <si>
    <t>工廠登記編號</t>
    <phoneticPr fontId="1" type="noConversion"/>
  </si>
  <si>
    <t>電話號碼</t>
    <phoneticPr fontId="1" type="noConversion"/>
  </si>
  <si>
    <t>產業別</t>
    <phoneticPr fontId="1" type="noConversion"/>
  </si>
  <si>
    <t>統一編號</t>
    <phoneticPr fontId="1" type="noConversion"/>
  </si>
  <si>
    <t>電子信箱</t>
    <phoneticPr fontId="1" type="noConversion"/>
  </si>
  <si>
    <t>盤查年度</t>
    <phoneticPr fontId="1" type="noConversion"/>
  </si>
  <si>
    <t>HFCs</t>
  </si>
  <si>
    <t>PFCs</t>
  </si>
  <si>
    <t>範疇一七種溫室氣體年總排放當量</t>
  </si>
  <si>
    <t>進行不確定性評估之排放量絕對值加總</t>
  </si>
  <si>
    <t>排放總量絕對值加總</t>
  </si>
  <si>
    <t>[第1級個數]</t>
  </si>
  <si>
    <t>[第2級個數]</t>
  </si>
  <si>
    <t>[第3級個數]</t>
  </si>
  <si>
    <t>[清冊等級分數]</t>
  </si>
  <si>
    <t>[清冊級別]</t>
  </si>
  <si>
    <t>全廠七大溫室氣體排放量統計表</t>
    <phoneticPr fontId="1" type="noConversion"/>
  </si>
  <si>
    <t>範疇一七大溫室氣體排放量統計表</t>
    <phoneticPr fontId="1" type="noConversion"/>
  </si>
  <si>
    <t>全廠溫室氣體範疇別及範疇一排放型式排放量統計表</t>
  </si>
  <si>
    <t>溫室氣體不確定性量化評估結果</t>
    <phoneticPr fontId="1" type="noConversion"/>
  </si>
  <si>
    <t>全廠溫室氣體數據等級評分結果</t>
  </si>
  <si>
    <t>總排放當量</t>
    <phoneticPr fontId="1" type="noConversion"/>
  </si>
  <si>
    <t>[CO2排放]</t>
  </si>
  <si>
    <t>[CH4排放]</t>
  </si>
  <si>
    <t>[N2O排放]</t>
  </si>
  <si>
    <t>[HFCS排放]</t>
  </si>
  <si>
    <t>[PFCS排放]</t>
  </si>
  <si>
    <t>[SF6排放]</t>
  </si>
  <si>
    <t>[NF3排放]</t>
  </si>
  <si>
    <t>[類別一CO2排放]</t>
  </si>
  <si>
    <t>[類別一CH4排放]</t>
  </si>
  <si>
    <t>[類別一N2O排放]</t>
  </si>
  <si>
    <t>[類別一HFCS排放]</t>
  </si>
  <si>
    <t>[類別一PFCS排放]</t>
  </si>
  <si>
    <t>[類別一SF6排放]</t>
  </si>
  <si>
    <t>[類別一NF3排放]</t>
  </si>
  <si>
    <t>範疇1</t>
  </si>
  <si>
    <t>範疇2</t>
  </si>
  <si>
    <t>範疇3</t>
  </si>
  <si>
    <t>固定排放</t>
  </si>
  <si>
    <t>製程排放</t>
  </si>
  <si>
    <t>移動排放</t>
  </si>
  <si>
    <t>逸散排放</t>
  </si>
  <si>
    <t>能源間接排放</t>
  </si>
  <si>
    <t>其他間接排放</t>
  </si>
  <si>
    <t>[類別一總排放]</t>
  </si>
  <si>
    <t>[類別二總排放]</t>
  </si>
  <si>
    <t>[固定排放量]</t>
  </si>
  <si>
    <t>[製程排放量]</t>
  </si>
  <si>
    <t>[移動排放量]</t>
  </si>
  <si>
    <t>[逸散排放量]</t>
  </si>
  <si>
    <t>等級</t>
  </si>
  <si>
    <t>第一級</t>
  </si>
  <si>
    <t>第二級</t>
  </si>
  <si>
    <t>第三級</t>
  </si>
  <si>
    <t>本清冊之總不確定性</t>
  </si>
  <si>
    <t>評分範圍</t>
  </si>
  <si>
    <t>X&lt;10分</t>
  </si>
  <si>
    <t>10分≦X&lt;19分</t>
  </si>
  <si>
    <t>19≦X≦27分</t>
  </si>
  <si>
    <t>[總排放當量]</t>
  </si>
  <si>
    <t>個數</t>
  </si>
  <si>
    <t>進行不確定性評估之排放量佔總排放量之比例</t>
  </si>
  <si>
    <t>95%信賴區間下限</t>
  </si>
  <si>
    <t>95%信賴區間上限</t>
  </si>
  <si>
    <t>清冊等級總平均分數</t>
  </si>
  <si>
    <t>清冊級別</t>
  </si>
  <si>
    <t>[95下]</t>
  </si>
  <si>
    <t>[95上]</t>
  </si>
  <si>
    <t>公司名稱</t>
    <phoneticPr fontId="1" type="noConversion"/>
  </si>
  <si>
    <t>英文公司名稱</t>
    <phoneticPr fontId="1" type="noConversion"/>
  </si>
  <si>
    <t>顯著性門檻</t>
  </si>
  <si>
    <t>實質性門檻</t>
  </si>
  <si>
    <t>排除門檻</t>
  </si>
  <si>
    <t>氣體別占比
(％)</t>
    <phoneticPr fontId="1" type="noConversion"/>
  </si>
  <si>
    <t>七種溫室氣體年總排放當量</t>
    <phoneticPr fontId="1" type="noConversion"/>
  </si>
  <si>
    <t>數據來源名稱</t>
    <phoneticPr fontId="1" type="noConversion"/>
  </si>
  <si>
    <t>[進行評估排放當量]</t>
    <phoneticPr fontId="1" type="noConversion"/>
  </si>
  <si>
    <t>數據等級評分(AxBxC)</t>
    <phoneticPr fontId="1" type="noConversion"/>
  </si>
  <si>
    <t>活動數據誤差等級(A)</t>
    <phoneticPr fontId="1" type="noConversion"/>
  </si>
  <si>
    <t>儀器校正等級(B)</t>
    <phoneticPr fontId="1" type="noConversion"/>
  </si>
  <si>
    <t>排放係數誤差等級(C)</t>
    <phoneticPr fontId="1" type="noConversion"/>
  </si>
  <si>
    <t>不確定性定量上限</t>
    <phoneticPr fontId="1" type="noConversion"/>
  </si>
  <si>
    <t>不確定性定量下限</t>
    <phoneticPr fontId="1" type="noConversion"/>
  </si>
  <si>
    <t>GWP值版本</t>
    <phoneticPr fontId="1" type="noConversion"/>
  </si>
  <si>
    <t>基準年</t>
    <phoneticPr fontId="1" type="noConversion"/>
  </si>
  <si>
    <t>HFCs</t>
    <phoneticPr fontId="1" type="noConversion"/>
  </si>
  <si>
    <t>PFCs</t>
    <phoneticPr fontId="1" type="noConversion"/>
  </si>
  <si>
    <r>
      <rPr>
        <b/>
        <sz val="12"/>
        <color rgb="FF000080"/>
        <rFont val="Microsoft JhengHei Light"/>
        <family val="2"/>
        <charset val="136"/>
      </rPr>
      <t>地址</t>
    </r>
  </si>
  <si>
    <r>
      <rPr>
        <b/>
        <sz val="12"/>
        <color rgb="FF000080"/>
        <rFont val="Microsoft JhengHei Light"/>
        <family val="2"/>
        <charset val="136"/>
      </rPr>
      <t>姓名</t>
    </r>
  </si>
  <si>
    <r>
      <t>CO</t>
    </r>
    <r>
      <rPr>
        <b/>
        <vertAlign val="subscript"/>
        <sz val="12"/>
        <color rgb="FF000000"/>
        <rFont val="Microsoft JhengHei Light"/>
        <family val="2"/>
        <charset val="136"/>
      </rPr>
      <t>2</t>
    </r>
  </si>
  <si>
    <r>
      <t>CH</t>
    </r>
    <r>
      <rPr>
        <b/>
        <vertAlign val="subscript"/>
        <sz val="12"/>
        <color rgb="FF000000"/>
        <rFont val="Microsoft JhengHei Light"/>
        <family val="2"/>
        <charset val="136"/>
      </rPr>
      <t>4</t>
    </r>
  </si>
  <si>
    <r>
      <t>N</t>
    </r>
    <r>
      <rPr>
        <b/>
        <vertAlign val="subscript"/>
        <sz val="12"/>
        <color rgb="FF000000"/>
        <rFont val="Microsoft JhengHei Light"/>
        <family val="2"/>
        <charset val="136"/>
      </rPr>
      <t>2</t>
    </r>
    <r>
      <rPr>
        <b/>
        <sz val="12"/>
        <color rgb="FF000000"/>
        <rFont val="Microsoft JhengHei Light"/>
        <family val="2"/>
        <charset val="136"/>
      </rPr>
      <t>O</t>
    </r>
  </si>
  <si>
    <r>
      <t>SF</t>
    </r>
    <r>
      <rPr>
        <b/>
        <vertAlign val="subscript"/>
        <sz val="12"/>
        <color rgb="FF000000"/>
        <rFont val="Microsoft JhengHei Light"/>
        <family val="2"/>
        <charset val="136"/>
      </rPr>
      <t>6</t>
    </r>
  </si>
  <si>
    <r>
      <t>NF</t>
    </r>
    <r>
      <rPr>
        <b/>
        <vertAlign val="subscript"/>
        <sz val="12"/>
        <color rgb="FF000000"/>
        <rFont val="Microsoft JhengHei Light"/>
        <family val="2"/>
        <charset val="136"/>
      </rPr>
      <t>3</t>
    </r>
  </si>
  <si>
    <r>
      <t>CO</t>
    </r>
    <r>
      <rPr>
        <b/>
        <vertAlign val="subscript"/>
        <sz val="12"/>
        <color rgb="FF000066"/>
        <rFont val="Microsoft JhengHei Light"/>
        <family val="2"/>
        <charset val="136"/>
      </rPr>
      <t>2</t>
    </r>
    <r>
      <rPr>
        <b/>
        <sz val="12"/>
        <color rgb="FF000066"/>
        <rFont val="Microsoft JhengHei Light"/>
        <family val="2"/>
        <charset val="136"/>
      </rPr>
      <t>排放當量</t>
    </r>
    <phoneticPr fontId="1" type="noConversion"/>
  </si>
  <si>
    <r>
      <t>CO</t>
    </r>
    <r>
      <rPr>
        <b/>
        <vertAlign val="subscript"/>
        <sz val="12"/>
        <color rgb="FF000066"/>
        <rFont val="Microsoft JhengHei Light"/>
        <family val="2"/>
        <charset val="136"/>
      </rPr>
      <t>2</t>
    </r>
    <r>
      <rPr>
        <b/>
        <sz val="12"/>
        <color rgb="FF000066"/>
        <rFont val="Microsoft JhengHei Light"/>
        <family val="2"/>
        <charset val="136"/>
      </rPr>
      <t>排放當量單位</t>
    </r>
    <phoneticPr fontId="1" type="noConversion"/>
  </si>
  <si>
    <r>
      <t>排放當量
(公噸CO</t>
    </r>
    <r>
      <rPr>
        <b/>
        <vertAlign val="subscript"/>
        <sz val="12"/>
        <color rgb="FF000000"/>
        <rFont val="Microsoft JhengHei Light"/>
        <family val="2"/>
        <charset val="136"/>
      </rPr>
      <t>2</t>
    </r>
    <r>
      <rPr>
        <b/>
        <sz val="12"/>
        <color rgb="FF000000"/>
        <rFont val="Microsoft JhengHei Light"/>
        <family val="2"/>
        <charset val="136"/>
      </rPr>
      <t>e/年)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</si>
</sst>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%"/>
    <numFmt numFmtId="177" formatCode="&quot; &quot;#,##0.00&quot; &quot;;&quot;-&quot;#,##0.00&quot; &quot;;&quot; -&quot;00&quot; &quot;;&quot; &quot;@&quot; &quot;"/>
    <numFmt numFmtId="178" formatCode="0&quot; &quot;"/>
    <numFmt numFmtId="179" formatCode="#,##0.0000&quot; &quot;;[Red]&quot;(&quot;#,##0.0000&quot;)&quot;"/>
    <numFmt numFmtId="180" formatCode="#,##0&quot; &quot;;[Red]&quot;(&quot;#,##0&quot;)&quot;"/>
    <numFmt numFmtId="181" formatCode="&quot;+ &quot;0.000%"/>
    <numFmt numFmtId="182" formatCode="#,##0.000&quot; &quot;;[Red]&quot;(&quot;#,##0.000&quot;)&quot;"/>
    <numFmt numFmtId="183" formatCode="0.00&quot; &quot;;[Red]&quot;(&quot;0.00&quot;)&quot;"/>
    <numFmt numFmtId="184" formatCode="#,##0.00000000&quot; &quot;"/>
    <numFmt numFmtId="185" formatCode="#,##0.0000&quot; &quot;;[Red]&quot;-&quot;#,##0.0000&quot; &quot;"/>
    <numFmt numFmtId="186" formatCode="#,##0.000&quot; &quot;"/>
    <numFmt numFmtId="187" formatCode="&quot;- &quot;0.00%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Arial"/>
      <family val="2"/>
    </font>
    <font>
      <b/>
      <sz val="12"/>
      <color rgb="FF000066"/>
      <name val="Microsoft JhengHei Light"/>
      <family val="2"/>
      <charset val="136"/>
    </font>
    <font>
      <b/>
      <sz val="12"/>
      <color rgb="FF000080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rgb="FF000000"/>
      <name val="Microsoft JhengHei Light"/>
      <family val="2"/>
      <charset val="136"/>
    </font>
    <font>
      <b/>
      <sz val="12"/>
      <color rgb="FF000000"/>
      <name val="Microsoft JhengHei Light"/>
      <family val="2"/>
      <charset val="136"/>
    </font>
    <font>
      <b/>
      <vertAlign val="subscript"/>
      <sz val="12"/>
      <color rgb="FF000000"/>
      <name val="Microsoft JhengHei Light"/>
      <family val="2"/>
      <charset val="136"/>
    </font>
    <font>
      <b/>
      <vertAlign val="subscript"/>
      <sz val="12"/>
      <color rgb="FF000066"/>
      <name val="Microsoft JhengHei Light"/>
      <family val="2"/>
      <charset val="136"/>
    </font>
    <font>
      <sz val="9"/>
      <color theme="1"/>
      <name val="Microsoft JhengHei Light"/>
      <family val="2"/>
      <charset val="136"/>
    </font>
    <font>
      <sz val="10"/>
      <color rgb="FF000000"/>
      <name val="Microsoft JhengHei Light"/>
      <family val="2"/>
      <charset val="136"/>
    </font>
    <font>
      <sz val="14"/>
      <color rgb="FF000000"/>
      <name val="Microsoft JhengHei Light"/>
      <family val="2"/>
      <charset val="136"/>
    </font>
    <font>
      <sz val="12"/>
      <name val="Microsoft JhengHei Light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ont="0" applyBorder="0" applyProtection="0"/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>
      <alignment vertical="center"/>
    </xf>
    <xf numFmtId="0" fontId="3" fillId="0" borderId="0" applyNumberFormat="0" applyFont="0" applyBorder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4" borderId="2" applyNumberFormat="0" applyProtection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5" fillId="2" borderId="1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0" borderId="0" xfId="0" applyFont="1">
      <alignment vertical="center"/>
    </xf>
    <xf numFmtId="49" fontId="8" fillId="0" borderId="0" xfId="2" applyNumberFormat="1" applyFont="1" applyBorder="1" applyAlignment="1" applyProtection="1">
      <alignment horizontal="center" vertical="center" wrapText="1"/>
      <protection locked="0"/>
    </xf>
    <xf numFmtId="49" fontId="8" fillId="3" borderId="0" xfId="2" applyNumberFormat="1" applyFont="1" applyFill="1" applyBorder="1" applyAlignment="1" applyProtection="1">
      <alignment horizontal="center" vertical="center" wrapText="1"/>
      <protection locked="0"/>
    </xf>
    <xf numFmtId="176" fontId="8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5" fillId="2" borderId="3" xfId="2" applyFont="1" applyFill="1" applyBorder="1" applyAlignment="1">
      <alignment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shrinkToFit="1"/>
    </xf>
    <xf numFmtId="182" fontId="9" fillId="2" borderId="1" xfId="2" applyNumberFormat="1" applyFont="1" applyFill="1" applyBorder="1" applyAlignment="1">
      <alignment horizontal="center" vertical="center" shrinkToFit="1"/>
    </xf>
    <xf numFmtId="0" fontId="7" fillId="0" borderId="0" xfId="0" quotePrefix="1" applyFont="1">
      <alignment vertical="center"/>
    </xf>
    <xf numFmtId="0" fontId="9" fillId="2" borderId="30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/>
    </xf>
    <xf numFmtId="0" fontId="5" fillId="2" borderId="19" xfId="2" applyFont="1" applyFill="1" applyBorder="1" applyAlignment="1">
      <alignment horizontal="center" vertical="center"/>
    </xf>
    <xf numFmtId="0" fontId="5" fillId="2" borderId="35" xfId="2" applyFont="1" applyFill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29" xfId="2" applyFont="1" applyFill="1" applyBorder="1" applyAlignment="1">
      <alignment horizontal="center" vertical="center"/>
    </xf>
    <xf numFmtId="182" fontId="9" fillId="2" borderId="1" xfId="2" applyNumberFormat="1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182" fontId="9" fillId="2" borderId="6" xfId="2" applyNumberFormat="1" applyFont="1" applyFill="1" applyBorder="1" applyAlignment="1">
      <alignment horizontal="center" vertical="center" wrapText="1"/>
    </xf>
    <xf numFmtId="0" fontId="12" fillId="0" borderId="1" xfId="29" applyFont="1" applyBorder="1" applyAlignment="1">
      <alignment horizontal="center" vertical="center"/>
    </xf>
    <xf numFmtId="182" fontId="9" fillId="6" borderId="7" xfId="2" applyNumberFormat="1" applyFont="1" applyFill="1" applyBorder="1" applyAlignment="1">
      <alignment horizontal="center" vertical="center"/>
    </xf>
    <xf numFmtId="183" fontId="8" fillId="0" borderId="0" xfId="2" applyNumberFormat="1" applyFont="1" applyAlignment="1">
      <alignment horizontal="center" vertical="center"/>
    </xf>
    <xf numFmtId="0" fontId="9" fillId="2" borderId="8" xfId="2" applyFont="1" applyFill="1" applyBorder="1" applyAlignment="1">
      <alignment horizontal="center" vertical="center" wrapText="1"/>
    </xf>
    <xf numFmtId="10" fontId="12" fillId="0" borderId="9" xfId="1" applyNumberFormat="1" applyFont="1" applyBorder="1" applyAlignment="1">
      <alignment horizontal="center" vertical="center"/>
    </xf>
    <xf numFmtId="10" fontId="8" fillId="6" borderId="10" xfId="2" applyNumberFormat="1" applyFont="1" applyFill="1" applyBorder="1" applyAlignment="1">
      <alignment horizontal="center" vertical="center"/>
    </xf>
    <xf numFmtId="180" fontId="8" fillId="0" borderId="0" xfId="2" applyNumberFormat="1" applyFont="1" applyAlignment="1">
      <alignment horizontal="center" vertical="center"/>
    </xf>
    <xf numFmtId="182" fontId="8" fillId="0" borderId="0" xfId="2" applyNumberFormat="1" applyFont="1" applyAlignment="1">
      <alignment horizontal="center" vertical="center"/>
    </xf>
    <xf numFmtId="184" fontId="13" fillId="0" borderId="0" xfId="2" applyNumberFormat="1" applyFont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179" fontId="9" fillId="6" borderId="7" xfId="2" applyNumberFormat="1" applyFont="1" applyFill="1" applyBorder="1" applyAlignment="1">
      <alignment horizontal="center" vertical="center"/>
    </xf>
    <xf numFmtId="0" fontId="9" fillId="2" borderId="23" xfId="2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/>
    </xf>
    <xf numFmtId="0" fontId="9" fillId="2" borderId="20" xfId="2" applyFont="1" applyFill="1" applyBorder="1" applyAlignment="1">
      <alignment horizontal="center" vertical="center"/>
    </xf>
    <xf numFmtId="0" fontId="9" fillId="2" borderId="31" xfId="2" applyFont="1" applyFill="1" applyBorder="1" applyAlignment="1">
      <alignment horizontal="center" vertical="center"/>
    </xf>
    <xf numFmtId="0" fontId="9" fillId="2" borderId="15" xfId="2" applyFont="1" applyFill="1" applyBorder="1" applyAlignment="1">
      <alignment horizontal="center" vertical="center"/>
    </xf>
    <xf numFmtId="0" fontId="9" fillId="2" borderId="24" xfId="2" applyFont="1" applyFill="1" applyBorder="1" applyAlignment="1">
      <alignment horizontal="center" vertical="center"/>
    </xf>
    <xf numFmtId="0" fontId="9" fillId="2" borderId="14" xfId="2" applyFont="1" applyFill="1" applyBorder="1" applyAlignment="1">
      <alignment horizontal="center" vertical="center"/>
    </xf>
    <xf numFmtId="182" fontId="9" fillId="2" borderId="32" xfId="2" applyNumberFormat="1" applyFont="1" applyFill="1" applyBorder="1" applyAlignment="1">
      <alignment horizontal="center" vertical="center"/>
    </xf>
    <xf numFmtId="182" fontId="9" fillId="2" borderId="33" xfId="2" applyNumberFormat="1" applyFont="1" applyFill="1" applyBorder="1" applyAlignment="1">
      <alignment horizontal="center" vertical="center"/>
    </xf>
    <xf numFmtId="0" fontId="9" fillId="2" borderId="28" xfId="2" applyFont="1" applyFill="1" applyBorder="1" applyAlignment="1">
      <alignment horizontal="center" vertical="center" wrapText="1"/>
    </xf>
    <xf numFmtId="185" fontId="8" fillId="6" borderId="1" xfId="2" applyNumberFormat="1" applyFont="1" applyFill="1" applyBorder="1" applyAlignment="1">
      <alignment horizontal="center" vertical="center"/>
    </xf>
    <xf numFmtId="185" fontId="8" fillId="6" borderId="25" xfId="2" applyNumberFormat="1" applyFont="1" applyFill="1" applyBorder="1" applyAlignment="1">
      <alignment horizontal="center" vertical="center"/>
    </xf>
    <xf numFmtId="0" fontId="8" fillId="6" borderId="32" xfId="2" applyNumberFormat="1" applyFont="1" applyFill="1" applyBorder="1" applyAlignment="1">
      <alignment horizontal="center" vertical="center"/>
    </xf>
    <xf numFmtId="0" fontId="9" fillId="2" borderId="29" xfId="2" applyFont="1" applyFill="1" applyBorder="1" applyAlignment="1">
      <alignment horizontal="center" vertical="center" wrapText="1"/>
    </xf>
    <xf numFmtId="185" fontId="8" fillId="6" borderId="26" xfId="2" applyNumberFormat="1" applyFont="1" applyFill="1" applyBorder="1" applyAlignment="1">
      <alignment horizontal="center" vertical="center"/>
    </xf>
    <xf numFmtId="185" fontId="8" fillId="6" borderId="33" xfId="2" applyNumberFormat="1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 wrapText="1"/>
    </xf>
    <xf numFmtId="10" fontId="8" fillId="6" borderId="1" xfId="1" applyNumberFormat="1" applyFont="1" applyFill="1" applyBorder="1" applyAlignment="1">
      <alignment horizontal="center" vertical="center"/>
    </xf>
    <xf numFmtId="10" fontId="8" fillId="6" borderId="25" xfId="1" applyNumberFormat="1" applyFont="1" applyFill="1" applyBorder="1" applyAlignment="1">
      <alignment horizontal="center" vertical="center"/>
    </xf>
    <xf numFmtId="10" fontId="8" fillId="6" borderId="32" xfId="1" applyNumberFormat="1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10" fontId="8" fillId="6" borderId="27" xfId="1" applyNumberFormat="1" applyFont="1" applyFill="1" applyBorder="1" applyAlignment="1">
      <alignment horizontal="center" vertical="center"/>
    </xf>
    <xf numFmtId="10" fontId="8" fillId="6" borderId="34" xfId="1" applyNumberFormat="1" applyFont="1" applyFill="1" applyBorder="1" applyAlignment="1">
      <alignment horizontal="center" vertical="center"/>
    </xf>
    <xf numFmtId="178" fontId="8" fillId="0" borderId="0" xfId="2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9" fillId="2" borderId="18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horizontal="center" vertical="center"/>
    </xf>
    <xf numFmtId="0" fontId="9" fillId="2" borderId="21" xfId="2" applyFont="1" applyFill="1" applyBorder="1" applyAlignment="1">
      <alignment horizontal="center" vertical="center"/>
    </xf>
    <xf numFmtId="186" fontId="14" fillId="6" borderId="6" xfId="2" applyNumberFormat="1" applyFont="1" applyFill="1" applyBorder="1" applyAlignment="1">
      <alignment horizontal="center" vertical="center"/>
    </xf>
    <xf numFmtId="182" fontId="14" fillId="6" borderId="1" xfId="2" applyNumberFormat="1" applyFont="1" applyFill="1" applyBorder="1" applyAlignment="1">
      <alignment horizontal="center" vertical="center"/>
    </xf>
    <xf numFmtId="0" fontId="9" fillId="2" borderId="17" xfId="2" applyFont="1" applyFill="1" applyBorder="1" applyAlignment="1">
      <alignment horizontal="center" vertical="center"/>
    </xf>
    <xf numFmtId="0" fontId="9" fillId="2" borderId="22" xfId="2" applyFont="1" applyFill="1" applyBorder="1" applyAlignment="1">
      <alignment horizontal="center" vertical="center"/>
    </xf>
    <xf numFmtId="0" fontId="15" fillId="0" borderId="1" xfId="29" applyFont="1" applyBorder="1" applyAlignment="1">
      <alignment horizontal="center" vertical="center"/>
    </xf>
    <xf numFmtId="0" fontId="15" fillId="0" borderId="7" xfId="29" applyFont="1" applyBorder="1" applyAlignment="1">
      <alignment horizontal="center" vertical="center"/>
    </xf>
    <xf numFmtId="0" fontId="9" fillId="2" borderId="13" xfId="2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0" fontId="15" fillId="0" borderId="9" xfId="29" applyFont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15" fillId="0" borderId="10" xfId="29" applyFont="1" applyBorder="1" applyAlignment="1">
      <alignment horizontal="center" vertical="center"/>
    </xf>
    <xf numFmtId="10" fontId="8" fillId="5" borderId="11" xfId="1" applyNumberFormat="1" applyFont="1" applyFill="1" applyBorder="1" applyAlignment="1">
      <alignment horizontal="center" vertical="center"/>
    </xf>
    <xf numFmtId="10" fontId="8" fillId="5" borderId="12" xfId="1" applyNumberFormat="1" applyFont="1" applyFill="1" applyBorder="1" applyAlignment="1">
      <alignment horizontal="center" vertical="center"/>
    </xf>
    <xf numFmtId="187" fontId="14" fillId="6" borderId="9" xfId="2" applyNumberFormat="1" applyFont="1" applyFill="1" applyBorder="1" applyAlignment="1">
      <alignment horizontal="center" vertical="center"/>
    </xf>
    <xf numFmtId="181" fontId="14" fillId="6" borderId="10" xfId="2" applyNumberFormat="1" applyFont="1" applyFill="1" applyBorder="1" applyAlignment="1">
      <alignment horizontal="center" vertical="center"/>
    </xf>
  </cellXfs>
  <cellStyles count="31">
    <cellStyle name="Articles" xfId="28" xr:uid="{00272ED2-673B-4531-BEE6-B54571E56BAA}"/>
    <cellStyle name="一般" xfId="0" builtinId="0"/>
    <cellStyle name="一般 2" xfId="2" xr:uid="{3D21790F-B7DC-4B24-93C5-CFC980D33EFA}"/>
    <cellStyle name="一般 2 2" xfId="5" xr:uid="{F1DF68F8-F3A9-4966-8447-EA0564026E56}"/>
    <cellStyle name="一般 2 3" xfId="6" xr:uid="{A50CBEA4-E4A4-43B4-A3B6-69C7E7C7B43D}"/>
    <cellStyle name="一般 3" xfId="7" xr:uid="{4C9346D4-FD64-4B84-800E-108FB6D28C4A}"/>
    <cellStyle name="一般 3 2" xfId="8" xr:uid="{380C8E54-3F0B-41BC-A504-73699F162C1C}"/>
    <cellStyle name="一般 3 3" xfId="9" xr:uid="{4B985D61-A2D1-4772-A974-A10BB582AAE5}"/>
    <cellStyle name="一般 3 4" xfId="10" xr:uid="{40717CA1-6E32-4AD5-812B-2755011D70DE}"/>
    <cellStyle name="一般 4" xfId="11" xr:uid="{D39E5EFC-940E-439C-8DEC-2E8C4F9340B4}"/>
    <cellStyle name="一般 4 2" xfId="12" xr:uid="{9BD67276-5EDA-4341-8D78-C3BC11BEA094}"/>
    <cellStyle name="一般 4 3" xfId="13" xr:uid="{07ED1BE8-05D9-4912-B297-A16A1AAD85B7}"/>
    <cellStyle name="一般 4 4" xfId="14" xr:uid="{B9B6F410-F66B-4862-917C-1477B029F093}"/>
    <cellStyle name="一般 5" xfId="29" xr:uid="{F11BFF3B-FA6B-487B-8772-F47C86D60785}"/>
    <cellStyle name="一般 5 2" xfId="15" xr:uid="{70866F3C-3DF3-47FA-BD61-DEFECEEDC235}"/>
    <cellStyle name="一般 5 3" xfId="16" xr:uid="{557A040C-C779-446C-92A9-35DDFCABEA9A}"/>
    <cellStyle name="一般 5 4" xfId="17" xr:uid="{2BFC265E-5BD7-447F-B609-B64D5599794A}"/>
    <cellStyle name="一般 6" xfId="3" xr:uid="{333C986C-CD77-4368-A772-DFB1377FF835}"/>
    <cellStyle name="一般 6 2" xfId="18" xr:uid="{368B3700-4897-4850-85CB-792FDBDBA397}"/>
    <cellStyle name="一般 6 3" xfId="19" xr:uid="{13567B56-2263-406E-935F-06AE2AA7080C}"/>
    <cellStyle name="一般 6 4" xfId="20" xr:uid="{9DC4D337-FFC8-48FD-B37A-E9B65FEEC051}"/>
    <cellStyle name="一般 7 2" xfId="21" xr:uid="{4318BBF0-033B-4200-9E4B-7134CE592E2C}"/>
    <cellStyle name="一般 7 3" xfId="22" xr:uid="{B5731845-3A88-453D-953D-0820E510AFED}"/>
    <cellStyle name="一般 7 4" xfId="23" xr:uid="{0DC35BAA-2553-494F-9E71-A41E58499194}"/>
    <cellStyle name="一般 8 2" xfId="24" xr:uid="{426C143C-922C-4978-917D-F66A5C0F1EC8}"/>
    <cellStyle name="一般 9 2" xfId="25" xr:uid="{3E3B8B3B-7558-469A-B252-69CA8695D20D}"/>
    <cellStyle name="千分位 2" xfId="26" xr:uid="{BDDECD9F-2456-4CD8-AED0-E3DD57B514EC}"/>
    <cellStyle name="百分比" xfId="1" builtinId="5"/>
    <cellStyle name="百分比 2" xfId="27" xr:uid="{25AA0438-FA6B-4A3F-8721-EF07F4EE8294}"/>
    <cellStyle name="百分比 3" xfId="30" xr:uid="{2031A2FA-0120-4667-8F2D-716B4C9E453C}"/>
    <cellStyle name="百分比 4" xfId="4" xr:uid="{B03EB58B-8907-4FF4-BE51-8C0DC80A1C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tai-my.sharepoint.com/personal/mb390108_office_stust_edu_tw/Documents/&#25991;&#20214;/&#28331;&#23460;&#27683;&#39636;&#30436;&#26597;&#30331;&#37636;&#34920;&#21934;3.0.0(&#20462;).ods" TargetMode="External"/><Relationship Id="rId1" Type="http://schemas.openxmlformats.org/officeDocument/2006/relationships/externalLinkPath" Target="https://nantai-my.sharepoint.com/personal/mb390108_office_stust_edu_tw/Documents/&#25991;&#20214;/&#28331;&#23460;&#27683;&#39636;&#30436;&#26597;&#30331;&#37636;&#34920;&#21934;3.0.0(&#20462;)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單說明"/>
      <sheetName val="表一"/>
      <sheetName val="表二"/>
      <sheetName val="表三"/>
      <sheetName val="表四"/>
      <sheetName val="表五"/>
      <sheetName val="表六"/>
      <sheetName val="表七"/>
      <sheetName val="表八"/>
      <sheetName val="表九"/>
      <sheetName val="附表一"/>
      <sheetName val="附表二"/>
      <sheetName val="附表三"/>
      <sheetName val="附表四"/>
      <sheetName val="附表五"/>
      <sheetName val="附表六"/>
      <sheetName val="附表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E3" t="str">
            <v>臺北市</v>
          </cell>
        </row>
        <row r="4">
          <cell r="E4" t="str">
            <v>基隆市</v>
          </cell>
        </row>
        <row r="5">
          <cell r="E5" t="str">
            <v>新北市</v>
          </cell>
        </row>
        <row r="6">
          <cell r="E6" t="str">
            <v>宜蘭縣</v>
          </cell>
        </row>
        <row r="7">
          <cell r="E7" t="str">
            <v>新竹市</v>
          </cell>
        </row>
        <row r="8">
          <cell r="E8" t="str">
            <v>新竹縣</v>
          </cell>
        </row>
        <row r="9">
          <cell r="E9" t="str">
            <v>桃園市</v>
          </cell>
        </row>
        <row r="10">
          <cell r="E10" t="str">
            <v>苗栗縣</v>
          </cell>
        </row>
        <row r="11">
          <cell r="E11" t="str">
            <v>臺中市</v>
          </cell>
        </row>
        <row r="12">
          <cell r="E12" t="str">
            <v>彰化縣</v>
          </cell>
        </row>
        <row r="13">
          <cell r="E13" t="str">
            <v>南投縣</v>
          </cell>
        </row>
        <row r="14">
          <cell r="E14" t="str">
            <v>嘉義市</v>
          </cell>
        </row>
        <row r="15">
          <cell r="E15" t="str">
            <v>嘉義縣</v>
          </cell>
        </row>
        <row r="16">
          <cell r="E16" t="str">
            <v>雲林縣</v>
          </cell>
        </row>
        <row r="17">
          <cell r="E17" t="str">
            <v>臺南市</v>
          </cell>
        </row>
        <row r="18">
          <cell r="E18" t="str">
            <v>高雄市</v>
          </cell>
        </row>
        <row r="19">
          <cell r="E19" t="str">
            <v>南海諸島</v>
          </cell>
        </row>
        <row r="20">
          <cell r="E20" t="str">
            <v>澎湖縣</v>
          </cell>
        </row>
        <row r="21">
          <cell r="E21" t="str">
            <v>屏東縣</v>
          </cell>
        </row>
        <row r="22">
          <cell r="E22" t="str">
            <v>臺東縣</v>
          </cell>
        </row>
        <row r="23">
          <cell r="E23" t="str">
            <v>花蓮縣</v>
          </cell>
        </row>
        <row r="24">
          <cell r="E24" t="str">
            <v>金門縣</v>
          </cell>
        </row>
        <row r="25">
          <cell r="E25" t="str">
            <v>連江縣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9AA3-7B52-4F62-A00B-17B095F1296B}">
  <dimension ref="A1:O2"/>
  <sheetViews>
    <sheetView tabSelected="1" workbookViewId="0">
      <selection activeCell="A2" sqref="A2"/>
    </sheetView>
  </sheetViews>
  <sheetFormatPr defaultRowHeight="15.4" x14ac:dyDescent="0.45"/>
  <cols>
    <col min="1" max="1" width="9.06640625" style="5"/>
    <col min="2" max="2" width="22.3984375" style="5" customWidth="1"/>
    <col min="3" max="3" width="23.86328125" style="5" customWidth="1"/>
    <col min="4" max="4" width="13.46484375" style="5" customWidth="1"/>
    <col min="5" max="5" width="14.46484375" style="5" customWidth="1"/>
    <col min="6" max="6" width="26.59765625" style="5" customWidth="1"/>
    <col min="7" max="7" width="8.9296875" style="5" customWidth="1"/>
    <col min="8" max="8" width="16.6640625" style="5" customWidth="1"/>
    <col min="9" max="9" width="27.46484375" style="5" customWidth="1"/>
    <col min="10" max="10" width="7.59765625" style="5" bestFit="1" customWidth="1"/>
    <col min="11" max="11" width="7.59765625" style="5" customWidth="1"/>
    <col min="12" max="12" width="12.9296875" style="5" bestFit="1" customWidth="1"/>
    <col min="13" max="14" width="11.86328125" style="5" bestFit="1" customWidth="1"/>
    <col min="15" max="15" width="9.59765625" style="5" bestFit="1" customWidth="1"/>
    <col min="16" max="16384" width="9.06640625" style="5"/>
  </cols>
  <sheetData>
    <row r="1" spans="1:15" x14ac:dyDescent="0.45">
      <c r="A1" s="1" t="s">
        <v>16</v>
      </c>
      <c r="B1" s="2" t="s">
        <v>80</v>
      </c>
      <c r="C1" s="2" t="s">
        <v>81</v>
      </c>
      <c r="D1" s="2" t="s">
        <v>14</v>
      </c>
      <c r="E1" s="1" t="s">
        <v>11</v>
      </c>
      <c r="F1" s="1" t="s">
        <v>99</v>
      </c>
      <c r="G1" s="3" t="s">
        <v>100</v>
      </c>
      <c r="H1" s="4" t="s">
        <v>12</v>
      </c>
      <c r="I1" s="4" t="s">
        <v>15</v>
      </c>
      <c r="J1" s="1" t="s">
        <v>13</v>
      </c>
      <c r="K1" s="1" t="s">
        <v>96</v>
      </c>
      <c r="L1" s="1" t="s">
        <v>95</v>
      </c>
      <c r="M1" s="2" t="s">
        <v>82</v>
      </c>
      <c r="N1" s="2" t="s">
        <v>83</v>
      </c>
      <c r="O1" s="1" t="s">
        <v>84</v>
      </c>
    </row>
    <row r="2" spans="1:15" ht="63.75" customHeight="1" x14ac:dyDescent="0.45"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8">
        <v>0.03</v>
      </c>
      <c r="N2" s="8">
        <v>0.05</v>
      </c>
      <c r="O2" s="8">
        <v>5.0000000000000001E-3</v>
      </c>
    </row>
  </sheetData>
  <phoneticPr fontId="1" type="noConversion"/>
  <dataValidations count="3">
    <dataValidation allowBlank="1" showInputMessage="1" showErrorMessage="1" prompt="依本署溫室氣體盤查登錄指引，實質性門檻為5%。" sqref="N2" xr:uid="{AFDA3520-2363-4EA0-90CB-E7AFDD4525CF}"/>
    <dataValidation allowBlank="1" showInputMessage="1" showErrorMessage="1" prompt="依本署溫室氣體盤查登錄指引，排除門檻為0.5%。_x000a_" sqref="O2" xr:uid="{7D8C4C3A-8BE8-4A43-AAE8-2778A1C3D3DC}"/>
    <dataValidation allowBlank="1" showInputMessage="1" showErrorMessage="1" prompt="依本署溫室氣體盤查登錄指引，顯著性門檻為3%。" sqref="M2" xr:uid="{9E1BEBC6-75C2-496E-8F14-06404EE0C158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FD3C-AD7D-41BE-9A0A-3567FBAAC37F}">
  <dimension ref="A1:X1"/>
  <sheetViews>
    <sheetView workbookViewId="0">
      <selection activeCell="D4" sqref="D4"/>
    </sheetView>
  </sheetViews>
  <sheetFormatPr defaultRowHeight="15.4" x14ac:dyDescent="0.45"/>
  <cols>
    <col min="1" max="1" width="5.46484375" style="5" bestFit="1" customWidth="1"/>
    <col min="2" max="2" width="9.73046875" style="5" bestFit="1" customWidth="1"/>
    <col min="3" max="3" width="12" style="5" bestFit="1" customWidth="1"/>
    <col min="4" max="4" width="9.73046875" style="5" bestFit="1" customWidth="1"/>
    <col min="5" max="5" width="5.59765625" style="5" bestFit="1" customWidth="1"/>
    <col min="6" max="6" width="5.53125" style="5" bestFit="1" customWidth="1"/>
    <col min="7" max="7" width="5.9296875" style="5" bestFit="1" customWidth="1"/>
    <col min="8" max="8" width="6.6640625" style="5" bestFit="1" customWidth="1"/>
    <col min="9" max="9" width="6.33203125" style="5" bestFit="1" customWidth="1"/>
    <col min="10" max="10" width="4.86328125" style="5" bestFit="1" customWidth="1"/>
    <col min="11" max="11" width="5.33203125" style="5" bestFit="1" customWidth="1"/>
    <col min="12" max="12" width="14.3984375" style="5" bestFit="1" customWidth="1"/>
    <col min="13" max="13" width="18.9296875" style="5" bestFit="1" customWidth="1"/>
    <col min="14" max="14" width="14.265625" style="5" bestFit="1" customWidth="1"/>
    <col min="15" max="15" width="14.1328125" style="5" customWidth="1"/>
    <col min="16" max="16" width="9.73046875" style="5" bestFit="1" customWidth="1"/>
    <col min="17" max="17" width="5.46484375" style="5" bestFit="1" customWidth="1"/>
    <col min="18" max="18" width="5.46484375" style="5" customWidth="1"/>
    <col min="19" max="19" width="21.9296875" style="5" bestFit="1" customWidth="1"/>
    <col min="20" max="20" width="17.265625" style="5" bestFit="1" customWidth="1"/>
    <col min="21" max="21" width="21.796875" style="5" bestFit="1" customWidth="1"/>
    <col min="22" max="22" width="22.796875" style="5" bestFit="1" customWidth="1"/>
    <col min="23" max="24" width="18.73046875" style="5" bestFit="1" customWidth="1"/>
    <col min="25" max="16384" width="9.06640625" style="5"/>
  </cols>
  <sheetData>
    <row r="1" spans="1:24" ht="18.399999999999999" x14ac:dyDescent="0.45">
      <c r="A1" s="9" t="s">
        <v>1</v>
      </c>
      <c r="B1" s="9" t="s">
        <v>2</v>
      </c>
      <c r="C1" s="9" t="s">
        <v>3</v>
      </c>
      <c r="D1" s="9" t="s">
        <v>0</v>
      </c>
      <c r="E1" s="10" t="s">
        <v>101</v>
      </c>
      <c r="F1" s="11" t="s">
        <v>102</v>
      </c>
      <c r="G1" s="11" t="s">
        <v>103</v>
      </c>
      <c r="H1" s="11" t="s">
        <v>97</v>
      </c>
      <c r="I1" s="11" t="s">
        <v>98</v>
      </c>
      <c r="J1" s="12" t="s">
        <v>104</v>
      </c>
      <c r="K1" s="11" t="s">
        <v>105</v>
      </c>
      <c r="L1" s="9" t="s">
        <v>106</v>
      </c>
      <c r="M1" s="9" t="s">
        <v>107</v>
      </c>
      <c r="N1" s="9" t="s">
        <v>87</v>
      </c>
      <c r="O1" s="9"/>
      <c r="P1" s="9" t="s">
        <v>4</v>
      </c>
      <c r="Q1" s="9" t="s">
        <v>10</v>
      </c>
      <c r="R1" s="9"/>
      <c r="S1" s="9" t="s">
        <v>90</v>
      </c>
      <c r="T1" s="9" t="s">
        <v>91</v>
      </c>
      <c r="U1" s="9" t="s">
        <v>92</v>
      </c>
      <c r="V1" s="9" t="s">
        <v>89</v>
      </c>
      <c r="W1" s="9" t="s">
        <v>93</v>
      </c>
      <c r="X1" s="9" t="s">
        <v>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C39B-06AD-4425-A509-11D48C173669}">
  <dimension ref="A1:I28"/>
  <sheetViews>
    <sheetView workbookViewId="0">
      <selection activeCell="F11" sqref="F11"/>
    </sheetView>
  </sheetViews>
  <sheetFormatPr defaultRowHeight="15.4" x14ac:dyDescent="0.45"/>
  <cols>
    <col min="1" max="1" width="5.33203125" style="5" bestFit="1" customWidth="1"/>
    <col min="2" max="2" width="9.59765625" style="5" bestFit="1" customWidth="1"/>
    <col min="3" max="3" width="11.86328125" style="5" bestFit="1" customWidth="1"/>
    <col min="4" max="5" width="9.59765625" style="5" bestFit="1" customWidth="1"/>
    <col min="6" max="6" width="9.1328125" style="5" customWidth="1"/>
    <col min="7" max="7" width="17.19921875" style="5" customWidth="1"/>
    <col min="8" max="9" width="20.86328125" style="5" bestFit="1" customWidth="1"/>
    <col min="10" max="16384" width="9.06640625" style="5"/>
  </cols>
  <sheetData>
    <row r="1" spans="1:9" x14ac:dyDescent="0.45">
      <c r="A1" s="9" t="s">
        <v>1</v>
      </c>
      <c r="B1" s="9" t="s">
        <v>2</v>
      </c>
      <c r="C1" s="9" t="s">
        <v>3</v>
      </c>
      <c r="D1" s="9" t="s">
        <v>0</v>
      </c>
      <c r="E1" s="9" t="s">
        <v>5</v>
      </c>
      <c r="F1" s="9" t="s">
        <v>7</v>
      </c>
      <c r="G1" s="9" t="s">
        <v>6</v>
      </c>
      <c r="H1" s="9" t="s">
        <v>8</v>
      </c>
      <c r="I1" s="9" t="s">
        <v>9</v>
      </c>
    </row>
    <row r="28" spans="1:1" x14ac:dyDescent="0.45">
      <c r="A28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F0D4-F645-42D6-8647-B00483EEB98C}">
  <dimension ref="A1:M24"/>
  <sheetViews>
    <sheetView zoomScale="70" zoomScaleNormal="70" workbookViewId="0">
      <selection activeCell="D27" sqref="D27"/>
    </sheetView>
  </sheetViews>
  <sheetFormatPr defaultRowHeight="15.4" x14ac:dyDescent="0.45"/>
  <cols>
    <col min="1" max="1" width="21.33203125" style="19" bestFit="1" customWidth="1"/>
    <col min="2" max="2" width="15.86328125" style="19" bestFit="1" customWidth="1"/>
    <col min="3" max="3" width="14.265625" style="19" bestFit="1" customWidth="1"/>
    <col min="4" max="4" width="14.33203125" style="19" bestFit="1" customWidth="1"/>
    <col min="5" max="5" width="15.19921875" style="19" bestFit="1" customWidth="1"/>
    <col min="6" max="6" width="39.46484375" style="19" bestFit="1" customWidth="1"/>
    <col min="7" max="7" width="21.33203125" style="19" bestFit="1" customWidth="1"/>
    <col min="8" max="8" width="18.9296875" style="19" bestFit="1" customWidth="1"/>
    <col min="9" max="9" width="34.9296875" style="19" bestFit="1" customWidth="1"/>
    <col min="10" max="10" width="13.6640625" style="19" bestFit="1" customWidth="1"/>
    <col min="11" max="16384" width="9.06640625" style="19"/>
  </cols>
  <sheetData>
    <row r="1" spans="1:13" ht="16.149999999999999" customHeight="1" x14ac:dyDescent="0.45">
      <c r="A1" s="14"/>
      <c r="B1" s="15" t="s">
        <v>27</v>
      </c>
      <c r="C1" s="16"/>
      <c r="D1" s="16"/>
      <c r="E1" s="16"/>
      <c r="F1" s="16"/>
      <c r="G1" s="16"/>
      <c r="H1" s="16"/>
      <c r="I1" s="17"/>
      <c r="J1" s="18"/>
    </row>
    <row r="2" spans="1:13" ht="18.399999999999999" x14ac:dyDescent="0.45">
      <c r="A2" s="20"/>
      <c r="B2" s="21" t="s">
        <v>101</v>
      </c>
      <c r="C2" s="12" t="s">
        <v>102</v>
      </c>
      <c r="D2" s="12" t="s">
        <v>103</v>
      </c>
      <c r="E2" s="12" t="s">
        <v>17</v>
      </c>
      <c r="F2" s="12" t="s">
        <v>18</v>
      </c>
      <c r="G2" s="12" t="s">
        <v>104</v>
      </c>
      <c r="H2" s="12" t="s">
        <v>105</v>
      </c>
      <c r="I2" s="22" t="s">
        <v>86</v>
      </c>
      <c r="J2" s="18"/>
    </row>
    <row r="3" spans="1:13" ht="33.75" x14ac:dyDescent="0.45">
      <c r="A3" s="23" t="s">
        <v>108</v>
      </c>
      <c r="B3" s="24" t="s">
        <v>33</v>
      </c>
      <c r="C3" s="24" t="s">
        <v>34</v>
      </c>
      <c r="D3" s="24" t="s">
        <v>35</v>
      </c>
      <c r="E3" s="24" t="s">
        <v>36</v>
      </c>
      <c r="F3" s="24" t="s">
        <v>37</v>
      </c>
      <c r="G3" s="24" t="s">
        <v>38</v>
      </c>
      <c r="H3" s="24" t="s">
        <v>39</v>
      </c>
      <c r="I3" s="25" t="e">
        <f>B3+C3+D3+E3+F3+G3+H3</f>
        <v>#VALUE!</v>
      </c>
      <c r="J3" s="26"/>
    </row>
    <row r="4" spans="1:13" ht="31.15" thickBot="1" x14ac:dyDescent="0.5">
      <c r="A4" s="27" t="s">
        <v>85</v>
      </c>
      <c r="B4" s="28" t="e">
        <f>B3/$I$3</f>
        <v>#VALUE!</v>
      </c>
      <c r="C4" s="28" t="e">
        <f t="shared" ref="C4:H4" si="0">C3/$I$3</f>
        <v>#VALUE!</v>
      </c>
      <c r="D4" s="28" t="e">
        <f t="shared" si="0"/>
        <v>#VALUE!</v>
      </c>
      <c r="E4" s="28" t="e">
        <f t="shared" si="0"/>
        <v>#VALUE!</v>
      </c>
      <c r="F4" s="28" t="e">
        <f t="shared" si="0"/>
        <v>#VALUE!</v>
      </c>
      <c r="G4" s="28" t="e">
        <f t="shared" si="0"/>
        <v>#VALUE!</v>
      </c>
      <c r="H4" s="28" t="e">
        <f t="shared" si="0"/>
        <v>#VALUE!</v>
      </c>
      <c r="I4" s="29">
        <v>1</v>
      </c>
      <c r="J4" s="18"/>
    </row>
    <row r="5" spans="1:13" x14ac:dyDescent="0.45">
      <c r="A5" s="18"/>
      <c r="B5" s="18"/>
      <c r="C5" s="18"/>
      <c r="D5" s="30"/>
      <c r="E5" s="31"/>
      <c r="F5" s="31"/>
      <c r="G5" s="32"/>
      <c r="H5" s="18"/>
      <c r="I5" s="18"/>
      <c r="J5" s="18"/>
      <c r="K5" s="18"/>
      <c r="L5" s="18"/>
      <c r="M5" s="18"/>
    </row>
    <row r="6" spans="1:13" ht="15.75" thickBot="1" x14ac:dyDescent="0.5">
      <c r="A6" s="18"/>
      <c r="B6" s="18"/>
      <c r="C6" s="18"/>
      <c r="D6" s="30"/>
      <c r="E6" s="31"/>
      <c r="F6" s="31"/>
      <c r="G6" s="32"/>
      <c r="H6" s="18"/>
      <c r="I6" s="18"/>
      <c r="J6" s="18"/>
      <c r="K6" s="18"/>
      <c r="L6" s="18"/>
      <c r="M6" s="18"/>
    </row>
    <row r="7" spans="1:13" x14ac:dyDescent="0.45">
      <c r="A7" s="14"/>
      <c r="B7" s="33" t="s">
        <v>28</v>
      </c>
      <c r="C7" s="33"/>
      <c r="D7" s="33"/>
      <c r="E7" s="33"/>
      <c r="F7" s="33"/>
      <c r="G7" s="33"/>
      <c r="H7" s="33"/>
      <c r="I7" s="34"/>
      <c r="J7" s="18"/>
    </row>
    <row r="8" spans="1:13" ht="18.399999999999999" x14ac:dyDescent="0.45">
      <c r="A8" s="20"/>
      <c r="B8" s="10" t="s">
        <v>101</v>
      </c>
      <c r="C8" s="11" t="s">
        <v>102</v>
      </c>
      <c r="D8" s="11" t="s">
        <v>103</v>
      </c>
      <c r="E8" s="11" t="s">
        <v>17</v>
      </c>
      <c r="F8" s="11" t="s">
        <v>18</v>
      </c>
      <c r="G8" s="12" t="s">
        <v>104</v>
      </c>
      <c r="H8" s="11" t="s">
        <v>105</v>
      </c>
      <c r="I8" s="22" t="s">
        <v>19</v>
      </c>
      <c r="J8" s="18"/>
    </row>
    <row r="9" spans="1:13" ht="33.75" x14ac:dyDescent="0.45">
      <c r="A9" s="23" t="s">
        <v>108</v>
      </c>
      <c r="B9" s="24" t="s">
        <v>40</v>
      </c>
      <c r="C9" s="24" t="s">
        <v>41</v>
      </c>
      <c r="D9" s="24" t="s">
        <v>42</v>
      </c>
      <c r="E9" s="24" t="s">
        <v>43</v>
      </c>
      <c r="F9" s="24" t="s">
        <v>44</v>
      </c>
      <c r="G9" s="24" t="s">
        <v>45</v>
      </c>
      <c r="H9" s="24" t="s">
        <v>46</v>
      </c>
      <c r="I9" s="35" t="e">
        <f>B9+C9+D9+E9+F9+G9+H9</f>
        <v>#VALUE!</v>
      </c>
      <c r="J9" s="18"/>
    </row>
    <row r="10" spans="1:13" ht="31.15" thickBot="1" x14ac:dyDescent="0.5">
      <c r="A10" s="27" t="s">
        <v>85</v>
      </c>
      <c r="B10" s="28" t="e">
        <f>B9/$I$9</f>
        <v>#VALUE!</v>
      </c>
      <c r="C10" s="28" t="e">
        <f t="shared" ref="C10:H10" si="1">C9/$I$9</f>
        <v>#VALUE!</v>
      </c>
      <c r="D10" s="28" t="e">
        <f t="shared" si="1"/>
        <v>#VALUE!</v>
      </c>
      <c r="E10" s="28" t="e">
        <f t="shared" si="1"/>
        <v>#VALUE!</v>
      </c>
      <c r="F10" s="28" t="e">
        <f t="shared" si="1"/>
        <v>#VALUE!</v>
      </c>
      <c r="G10" s="28" t="e">
        <f t="shared" si="1"/>
        <v>#VALUE!</v>
      </c>
      <c r="H10" s="28" t="e">
        <f t="shared" si="1"/>
        <v>#VALUE!</v>
      </c>
      <c r="I10" s="29">
        <v>1</v>
      </c>
      <c r="J10" s="18"/>
    </row>
    <row r="11" spans="1:13" ht="15.75" thickBot="1" x14ac:dyDescent="0.5">
      <c r="A11" s="18"/>
      <c r="B11" s="18"/>
      <c r="C11" s="18"/>
      <c r="D11" s="30"/>
      <c r="E11" s="31"/>
      <c r="F11" s="31"/>
      <c r="G11" s="32"/>
      <c r="H11" s="18"/>
      <c r="I11" s="18"/>
      <c r="J11" s="18"/>
    </row>
    <row r="12" spans="1:13" x14ac:dyDescent="0.45">
      <c r="A12" s="14"/>
      <c r="B12" s="36" t="s">
        <v>29</v>
      </c>
      <c r="C12" s="37"/>
      <c r="D12" s="37"/>
      <c r="E12" s="37"/>
      <c r="F12" s="37"/>
      <c r="G12" s="37"/>
      <c r="H12" s="38"/>
    </row>
    <row r="13" spans="1:13" x14ac:dyDescent="0.45">
      <c r="A13" s="39"/>
      <c r="B13" s="40" t="s">
        <v>47</v>
      </c>
      <c r="C13" s="41"/>
      <c r="D13" s="41"/>
      <c r="E13" s="42"/>
      <c r="F13" s="10" t="s">
        <v>48</v>
      </c>
      <c r="G13" s="10" t="s">
        <v>49</v>
      </c>
      <c r="H13" s="43" t="s">
        <v>32</v>
      </c>
    </row>
    <row r="14" spans="1:13" x14ac:dyDescent="0.45">
      <c r="A14" s="20"/>
      <c r="B14" s="10" t="s">
        <v>50</v>
      </c>
      <c r="C14" s="10" t="s">
        <v>51</v>
      </c>
      <c r="D14" s="10" t="s">
        <v>52</v>
      </c>
      <c r="E14" s="10" t="s">
        <v>53</v>
      </c>
      <c r="F14" s="10" t="s">
        <v>54</v>
      </c>
      <c r="G14" s="10" t="s">
        <v>55</v>
      </c>
      <c r="H14" s="44"/>
    </row>
    <row r="15" spans="1:13" ht="15.4" customHeight="1" x14ac:dyDescent="0.45">
      <c r="A15" s="45" t="s">
        <v>108</v>
      </c>
      <c r="B15" s="46" t="s">
        <v>56</v>
      </c>
      <c r="C15" s="46"/>
      <c r="D15" s="46"/>
      <c r="E15" s="46"/>
      <c r="F15" s="47" t="s">
        <v>57</v>
      </c>
      <c r="G15" s="47">
        <v>0</v>
      </c>
      <c r="H15" s="48" t="e">
        <f>B15+F15+G15</f>
        <v>#VALUE!</v>
      </c>
    </row>
    <row r="16" spans="1:13" x14ac:dyDescent="0.45">
      <c r="A16" s="49"/>
      <c r="B16" s="24" t="s">
        <v>58</v>
      </c>
      <c r="C16" s="24" t="s">
        <v>59</v>
      </c>
      <c r="D16" s="24" t="s">
        <v>60</v>
      </c>
      <c r="E16" s="24" t="s">
        <v>61</v>
      </c>
      <c r="F16" s="50"/>
      <c r="G16" s="50"/>
      <c r="H16" s="51"/>
    </row>
    <row r="17" spans="1:11" x14ac:dyDescent="0.45">
      <c r="A17" s="52" t="s">
        <v>85</v>
      </c>
      <c r="B17" s="53" t="e">
        <f>B15/$H$15</f>
        <v>#VALUE!</v>
      </c>
      <c r="C17" s="53"/>
      <c r="D17" s="53"/>
      <c r="E17" s="53"/>
      <c r="F17" s="54" t="e">
        <f>F15/$H$15</f>
        <v>#VALUE!</v>
      </c>
      <c r="G17" s="54" t="e">
        <f>G15/$H$15</f>
        <v>#VALUE!</v>
      </c>
      <c r="H17" s="55">
        <v>1</v>
      </c>
    </row>
    <row r="18" spans="1:11" ht="15.75" thickBot="1" x14ac:dyDescent="0.5">
      <c r="A18" s="56"/>
      <c r="B18" s="28" t="e">
        <f>B16/$B$15</f>
        <v>#VALUE!</v>
      </c>
      <c r="C18" s="28" t="e">
        <f t="shared" ref="C18:E18" si="2">C16/$B$15</f>
        <v>#VALUE!</v>
      </c>
      <c r="D18" s="28" t="e">
        <f t="shared" si="2"/>
        <v>#VALUE!</v>
      </c>
      <c r="E18" s="28" t="e">
        <f t="shared" si="2"/>
        <v>#VALUE!</v>
      </c>
      <c r="F18" s="57"/>
      <c r="G18" s="57"/>
      <c r="H18" s="58"/>
    </row>
    <row r="19" spans="1:11" ht="15.75" thickBot="1" x14ac:dyDescent="0.5">
      <c r="A19" s="18"/>
      <c r="B19" s="18"/>
      <c r="C19" s="26"/>
      <c r="D19" s="26"/>
      <c r="E19" s="59"/>
      <c r="F19" s="60"/>
      <c r="G19" s="60"/>
      <c r="H19" s="60"/>
      <c r="I19" s="60"/>
      <c r="J19" s="60"/>
      <c r="K19" s="18"/>
    </row>
    <row r="20" spans="1:11" x14ac:dyDescent="0.45">
      <c r="A20" s="61" t="s">
        <v>31</v>
      </c>
      <c r="B20" s="33"/>
      <c r="C20" s="33"/>
      <c r="D20" s="34"/>
      <c r="E20" s="60"/>
      <c r="F20" s="62" t="s">
        <v>30</v>
      </c>
      <c r="G20" s="37"/>
      <c r="H20" s="37"/>
      <c r="I20" s="38"/>
    </row>
    <row r="21" spans="1:11" x14ac:dyDescent="0.45">
      <c r="A21" s="63" t="s">
        <v>62</v>
      </c>
      <c r="B21" s="10" t="s">
        <v>63</v>
      </c>
      <c r="C21" s="10" t="s">
        <v>64</v>
      </c>
      <c r="D21" s="22" t="s">
        <v>65</v>
      </c>
      <c r="E21" s="18"/>
      <c r="F21" s="63" t="s">
        <v>20</v>
      </c>
      <c r="G21" s="10" t="s">
        <v>21</v>
      </c>
      <c r="H21" s="64" t="s">
        <v>66</v>
      </c>
      <c r="I21" s="65"/>
    </row>
    <row r="22" spans="1:11" ht="18" x14ac:dyDescent="0.45">
      <c r="A22" s="63" t="s">
        <v>67</v>
      </c>
      <c r="B22" s="10" t="s">
        <v>68</v>
      </c>
      <c r="C22" s="10" t="s">
        <v>69</v>
      </c>
      <c r="D22" s="22" t="s">
        <v>70</v>
      </c>
      <c r="E22" s="18"/>
      <c r="F22" s="66" t="s">
        <v>88</v>
      </c>
      <c r="G22" s="67" t="s">
        <v>71</v>
      </c>
      <c r="H22" s="68"/>
      <c r="I22" s="69"/>
    </row>
    <row r="23" spans="1:11" x14ac:dyDescent="0.45">
      <c r="A23" s="63" t="s">
        <v>72</v>
      </c>
      <c r="B23" s="70" t="s">
        <v>22</v>
      </c>
      <c r="C23" s="70" t="s">
        <v>23</v>
      </c>
      <c r="D23" s="71" t="s">
        <v>24</v>
      </c>
      <c r="E23" s="18"/>
      <c r="F23" s="72" t="s">
        <v>73</v>
      </c>
      <c r="G23" s="42"/>
      <c r="H23" s="10" t="s">
        <v>74</v>
      </c>
      <c r="I23" s="22" t="s">
        <v>75</v>
      </c>
    </row>
    <row r="24" spans="1:11" ht="18.399999999999999" thickBot="1" x14ac:dyDescent="0.5">
      <c r="A24" s="73" t="s">
        <v>76</v>
      </c>
      <c r="B24" s="74" t="s">
        <v>25</v>
      </c>
      <c r="C24" s="75" t="s">
        <v>77</v>
      </c>
      <c r="D24" s="76" t="s">
        <v>26</v>
      </c>
      <c r="E24" s="18"/>
      <c r="F24" s="77" t="e">
        <f>F22/G22</f>
        <v>#VALUE!</v>
      </c>
      <c r="G24" s="78"/>
      <c r="H24" s="79" t="s">
        <v>78</v>
      </c>
      <c r="I24" s="80" t="s">
        <v>79</v>
      </c>
    </row>
  </sheetData>
  <mergeCells count="23">
    <mergeCell ref="A1:A2"/>
    <mergeCell ref="A7:A8"/>
    <mergeCell ref="A12:A14"/>
    <mergeCell ref="B15:E15"/>
    <mergeCell ref="A15:A16"/>
    <mergeCell ref="B1:I1"/>
    <mergeCell ref="B7:I7"/>
    <mergeCell ref="B13:E13"/>
    <mergeCell ref="H13:H14"/>
    <mergeCell ref="B12:H12"/>
    <mergeCell ref="A17:A18"/>
    <mergeCell ref="F24:G24"/>
    <mergeCell ref="F23:G23"/>
    <mergeCell ref="F20:I20"/>
    <mergeCell ref="F15:F16"/>
    <mergeCell ref="F17:F18"/>
    <mergeCell ref="G17:G18"/>
    <mergeCell ref="G15:G16"/>
    <mergeCell ref="H15:H16"/>
    <mergeCell ref="H17:H18"/>
    <mergeCell ref="B17:E17"/>
    <mergeCell ref="A20:D20"/>
    <mergeCell ref="H21:I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邊界資料</vt:lpstr>
      <vt:lpstr>排放源資料</vt:lpstr>
      <vt:lpstr>排放量計算資料</vt:lpstr>
      <vt:lpstr>溫室氣體排放量彙總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何維治</dc:creator>
  <cp:lastModifiedBy>何維治</cp:lastModifiedBy>
  <dcterms:created xsi:type="dcterms:W3CDTF">2024-07-23T12:04:02Z</dcterms:created>
  <dcterms:modified xsi:type="dcterms:W3CDTF">2024-09-06T14:50:53Z</dcterms:modified>
</cp:coreProperties>
</file>